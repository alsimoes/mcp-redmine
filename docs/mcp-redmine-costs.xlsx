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390" windowWidth="31365" windowHeight="17895" tabRatio="600" firstSheet="0" activeTab="0" autoFilterDateGrouping="1"/>
  </bookViews>
  <sheets>
    <sheet xmlns:r="http://schemas.openxmlformats.org/officeDocument/2006/relationships" name="Custos" sheetId="1" state="visible" r:id="rId1"/>
    <sheet xmlns:r="http://schemas.openxmlformats.org/officeDocument/2006/relationships" name="Conf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[$$-409]* #,##0.00_ ;_-[$$-409]* \-#,##0.00\ ;_-[$$-409]* &quot;-&quot;??_ ;_-@_ "/>
    <numFmt numFmtId="166" formatCode="_-&quot;R$&quot;\ * #,##0.00_-;\-&quot;R$&quot;\ * #,##0.00_-;_-&quot;R$&quot;\ * &quot;-&quot;??_-;_-@_-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2" fillId="0" borderId="0"/>
    <xf numFmtId="44" fontId="2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  <xf numFmtId="165" fontId="1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166" fontId="1" fillId="0" borderId="0" applyAlignment="1" pivotButton="0" quotePrefix="0" xfId="1">
      <alignment horizontal="center" vertical="center" wrapText="1"/>
    </xf>
    <xf numFmtId="166" fontId="0" fillId="0" borderId="0" applyAlignment="1" pivotButton="0" quotePrefix="0" xfId="1">
      <alignment vertical="top"/>
    </xf>
    <xf numFmtId="0" fontId="1" fillId="2" borderId="1" applyAlignment="1" pivotButton="0" quotePrefix="0" xfId="0">
      <alignment horizontal="center" vertical="center" wrapText="1"/>
    </xf>
    <xf numFmtId="166" fontId="1" fillId="0" borderId="0" applyAlignment="1" pivotButton="0" quotePrefix="0" xfId="1">
      <alignment horizontal="center" vertical="center" wrapText="1"/>
    </xf>
    <xf numFmtId="166" fontId="0" fillId="0" borderId="0" applyAlignment="1" pivotButton="0" quotePrefix="0" xfId="1">
      <alignment vertical="top"/>
    </xf>
  </cellXfs>
  <cellStyles count="2">
    <cellStyle name="Normal" xfId="0" builtinId="0"/>
    <cellStyle name="Moeda" xfId="1" builtinId="4"/>
  </cellStyles>
  <dxfs count="16">
    <dxf>
      <alignment horizontal="general" vertical="top" wrapText="1"/>
    </dxf>
    <dxf>
      <alignment horizontal="general" vertical="top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top"/>
    </dxf>
    <dxf>
      <numFmt numFmtId="165" formatCode="_-[$$-409]* #,##0.00_ ;_-[$$-409]* \-#,##0.00\ ;_-[$$-409]* &quot;-&quot;??_ ;_-@_ "/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border outline="0">
        <bottom style="double">
          <color indexed="64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7" tint="0.7999816888943144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1" displayName="Tabela1" ref="A2:N3" headerRowCount="1" totalsRowShown="0" headerRowDxfId="15" headerRowBorderDxfId="14">
  <autoFilter ref="A2:N3"/>
  <tableColumns count="14">
    <tableColumn id="1" name="Data" dataDxfId="13"/>
    <tableColumn id="2" name="Hora" dataDxfId="12"/>
    <tableColumn id="3" name="Ferramenta" dataDxfId="11"/>
    <tableColumn id="4" name="Modelo" dataDxfId="10"/>
    <tableColumn id="5" name="Provedor" dataDxfId="9"/>
    <tableColumn id="6" name="Tipo de Sessao" dataDxfId="8"/>
    <tableColumn id="7" name="Tokens Entrada" dataDxfId="7"/>
    <tableColumn id="8" name="Tokens Saida" dataDxfId="6"/>
    <tableColumn id="9" name="Tokens Cache Leitura" dataDxfId="5"/>
    <tableColumn id="10" name="Tokens Cache Escrita" dataDxfId="4"/>
    <tableColumn id="11" name="Custo Estimado (USD)" dataDxfId="3"/>
    <tableColumn id="12" name="Custo Estimado (BRL)" dataDxfId="2" dataCellStyle="Moeda">
      <calculatedColumnFormula>ROUNDUP($K3*Config!$B$1,2)</calculatedColumnFormula>
    </tableColumn>
    <tableColumn id="13" name="Tarefa/Contexto" dataDxfId="1"/>
    <tableColumn id="14" name="Observaco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zoomScale="130" zoomScaleNormal="130" workbookViewId="0">
      <pane ySplit="2" topLeftCell="A3" activePane="bottomLeft" state="frozen"/>
      <selection pane="bottomLeft" activeCell="L4" sqref="L4"/>
    </sheetView>
  </sheetViews>
  <sheetFormatPr baseColWidth="8" defaultRowHeight="15"/>
  <cols>
    <col width="12" customWidth="1" min="1" max="1"/>
    <col width="14" customWidth="1" min="2" max="2"/>
    <col width="18" customWidth="1" min="3" max="4"/>
    <col width="12" customWidth="1" min="5" max="5"/>
    <col width="16" customWidth="1" min="6" max="6"/>
    <col width="15.7109375" customWidth="1" min="7" max="7"/>
    <col width="14" customWidth="1" min="8" max="8"/>
    <col width="20.7109375" customWidth="1" min="9" max="9"/>
    <col width="20.42578125" customWidth="1" min="10" max="10"/>
    <col width="21.140625" customWidth="1" min="11" max="11"/>
    <col width="20.85546875" customWidth="1" min="12" max="12"/>
    <col width="60" customWidth="1" min="13" max="13"/>
    <col width="80" customWidth="1" min="14" max="14"/>
  </cols>
  <sheetData>
    <row r="1" ht="30" customHeight="1" thickBot="1">
      <c r="J1" s="9" t="inlineStr">
        <is>
          <t>Totais</t>
        </is>
      </c>
      <c r="K1" s="5">
        <f>SUM(K3:K7)</f>
        <v/>
      </c>
      <c r="L1" s="10">
        <f>SUM(L3:L7)</f>
        <v/>
      </c>
    </row>
    <row r="2" ht="31.5" customHeight="1" thickBot="1" thickTop="1">
      <c r="A2" s="9" t="inlineStr">
        <is>
          <t>Data</t>
        </is>
      </c>
      <c r="B2" s="9" t="inlineStr">
        <is>
          <t>Hora</t>
        </is>
      </c>
      <c r="C2" s="9" t="inlineStr">
        <is>
          <t>Ferramenta</t>
        </is>
      </c>
      <c r="D2" s="9" t="inlineStr">
        <is>
          <t>Modelo</t>
        </is>
      </c>
      <c r="E2" s="9" t="inlineStr">
        <is>
          <t>Provedor</t>
        </is>
      </c>
      <c r="F2" s="9" t="inlineStr">
        <is>
          <t>Tipo de Sessao</t>
        </is>
      </c>
      <c r="G2" s="9" t="inlineStr">
        <is>
          <t>Tokens Entrada</t>
        </is>
      </c>
      <c r="H2" s="9" t="inlineStr">
        <is>
          <t>Tokens Saida</t>
        </is>
      </c>
      <c r="I2" s="9" t="inlineStr">
        <is>
          <t>Tokens Cache Leitura</t>
        </is>
      </c>
      <c r="J2" s="9" t="inlineStr">
        <is>
          <t>Tokens Cache Escrita</t>
        </is>
      </c>
      <c r="K2" s="9" t="inlineStr">
        <is>
          <t>Custo Estimado (USD)</t>
        </is>
      </c>
      <c r="L2" s="9" t="inlineStr">
        <is>
          <t>Custo Estimado (BRL)</t>
        </is>
      </c>
      <c r="M2" s="9" t="inlineStr">
        <is>
          <t>Tarefa/Contexto</t>
        </is>
      </c>
      <c r="N2" s="9" t="inlineStr">
        <is>
          <t>Observacoes</t>
        </is>
      </c>
    </row>
    <row r="3" ht="15.75" customHeight="1" thickTop="1">
      <c r="A3" s="1" t="inlineStr">
        <is>
          <t>09/08/2026</t>
        </is>
      </c>
      <c r="B3" s="1" t="inlineStr">
        <is>
          <t>18:50</t>
        </is>
      </c>
      <c r="C3" s="1" t="inlineStr">
        <is>
          <t>Cline</t>
        </is>
      </c>
      <c r="D3" s="1" t="inlineStr">
        <is>
          <t>glm-5.2</t>
        </is>
      </c>
      <c r="E3" s="1" t="inlineStr">
        <is>
          <t>zai</t>
        </is>
      </c>
      <c r="F3" s="1" t="inlineStr">
        <is>
          <t>plan</t>
        </is>
      </c>
      <c r="G3" s="1" t="n">
        <v>163880</v>
      </c>
      <c r="H3" s="1" t="n">
        <v>24781</v>
      </c>
      <c r="I3" s="1" t="n">
        <v>1294848</v>
      </c>
      <c r="J3" s="1" t="n">
        <v>0</v>
      </c>
      <c r="K3" s="6" t="n">
        <v>0.2238</v>
      </c>
      <c r="L3" s="11">
        <f>ROUNDUP($K3*Config!$B$1,2)</f>
        <v/>
      </c>
      <c r="M3" s="2" t="inlineStr">
        <is>
          <t>Avaliacao compatibilidade MCP+Cline</t>
        </is>
      </c>
      <c r="N3" s="2" t="inlineStr">
        <is>
          <t>Precos estimados (ZhipuAI GLM-5.2: entrada $0.50/1M, saida $0.50/1M, cache $0.10/1M)</t>
        </is>
      </c>
    </row>
    <row r="4">
      <c r="A4" t="inlineStr">
        <is>
          <t>09/08/2026</t>
        </is>
      </c>
      <c r="B4" t="inlineStr">
        <is>
          <t>18:53</t>
        </is>
      </c>
      <c r="C4" t="inlineStr">
        <is>
          <t>Cline</t>
        </is>
      </c>
      <c r="D4" t="inlineStr">
        <is>
          <t>deepseek-v4-pro</t>
        </is>
      </c>
      <c r="E4" t="inlineStr">
        <is>
          <t>deepseek</t>
        </is>
      </c>
      <c r="F4" t="inlineStr">
        <is>
          <t>act</t>
        </is>
      </c>
      <c r="G4" t="n">
        <v>0</v>
      </c>
      <c r="H4" t="n">
        <v>4477</v>
      </c>
      <c r="I4" t="n">
        <v>196675</v>
      </c>
      <c r="J4" t="n">
        <v>0</v>
      </c>
      <c r="K4" t="n">
        <v>0.0187</v>
      </c>
      <c r="L4" s="11">
        <f>ROUNDUP($K4*Config!$B$1,2)</f>
        <v/>
      </c>
      <c r="M4" t="inlineStr">
        <is>
          <t>Criacao CLINE_SETUP.md</t>
        </is>
      </c>
      <c r="N4" t="inlineStr">
        <is>
          <t>Precos estimados (DeepSeek V4 Pro: entrada $0.27/1M, saida $1.10/1M, cache $0.07/1M)</t>
        </is>
      </c>
    </row>
    <row r="5">
      <c r="A5" t="inlineStr">
        <is>
          <t>09/08/2026</t>
        </is>
      </c>
      <c r="B5" t="inlineStr">
        <is>
          <t>19:30</t>
        </is>
      </c>
      <c r="C5" t="inlineStr">
        <is>
          <t>Cline</t>
        </is>
      </c>
      <c r="D5" t="inlineStr">
        <is>
          <t>glm-5.2</t>
        </is>
      </c>
      <c r="E5" t="inlineStr">
        <is>
          <t>zai</t>
        </is>
      </c>
      <c r="F5" t="inlineStr">
        <is>
          <t>plan</t>
        </is>
      </c>
      <c r="G5" t="n">
        <v>50000</v>
      </c>
      <c r="H5" t="n">
        <v>10000</v>
      </c>
      <c r="I5" t="n">
        <v>200000</v>
      </c>
      <c r="J5" t="n">
        <v>0</v>
      </c>
      <c r="K5" t="n">
        <v>0.05</v>
      </c>
      <c r="L5">
        <f>ROUNDUP(K5*Config!B1,2)</f>
        <v/>
      </c>
      <c r="M5" t="inlineStr">
        <is>
          <t>Instalação e configuração MCP Redmine no Cline</t>
        </is>
      </c>
      <c r="N5" t="inlineStr">
        <is>
          <t>Preços estimados (ZhipuAI GLM-5.2)</t>
        </is>
      </c>
    </row>
    <row r="6">
      <c r="A6" t="inlineStr">
        <is>
          <t>09/08/2026</t>
        </is>
      </c>
      <c r="B6" t="inlineStr">
        <is>
          <t>19:55</t>
        </is>
      </c>
      <c r="C6" t="inlineStr">
        <is>
          <t>Cline</t>
        </is>
      </c>
      <c r="D6" t="inlineStr">
        <is>
          <t>glm-5.2</t>
        </is>
      </c>
      <c r="E6" t="inlineStr">
        <is>
          <t>zai</t>
        </is>
      </c>
      <c r="F6" t="inlineStr">
        <is>
          <t>plan+act</t>
        </is>
      </c>
      <c r="G6" t="n">
        <v>290000</v>
      </c>
      <c r="H6" t="n">
        <v>8000</v>
      </c>
      <c r="I6" t="n">
        <v>2000000</v>
      </c>
      <c r="J6" t="n">
        <v>0</v>
      </c>
      <c r="K6" t="n">
        <v>0.18</v>
      </c>
      <c r="L6">
        <f>ROUNDUP(K6*Config!$B$1,2)</f>
        <v/>
      </c>
      <c r="M6" t="inlineStr">
        <is>
          <t>Correcao bugs 1085 e 1086 - register-page.ts + password-match.validator.ts + Spec 006</t>
        </is>
      </c>
      <c r="N6" t="inlineStr">
        <is>
          <t>Precos estimados (ZhipuAI GLM-5.2: entrada $0.50/1M, saida $0.50/1M, cache $0.10/1M) - sessao mista plan+act</t>
        </is>
      </c>
    </row>
    <row r="7">
      <c r="A7" t="inlineStr">
        <is>
          <t>09/08/2026</t>
        </is>
      </c>
      <c r="B7" t="inlineStr">
        <is>
          <t>20:54</t>
        </is>
      </c>
      <c r="C7" t="inlineStr">
        <is>
          <t>Cowork</t>
        </is>
      </c>
      <c r="D7" t="inlineStr">
        <is>
          <t>claude-opus-5</t>
        </is>
      </c>
      <c r="E7" t="inlineStr">
        <is>
          <t>anthropic</t>
        </is>
      </c>
      <c r="F7" t="inlineStr">
        <is>
          <t>plan+act</t>
        </is>
      </c>
      <c r="G7" t="n">
        <v>247</v>
      </c>
      <c r="H7" t="n">
        <v>87839</v>
      </c>
      <c r="I7" t="n">
        <v>10998938</v>
      </c>
      <c r="J7" t="n">
        <v>609279</v>
      </c>
      <c r="K7" t="n">
        <v>13.7895</v>
      </c>
      <c r="L7">
        <f>ROUNDUP($K7*Config!$B$1,2)</f>
        <v/>
      </c>
      <c r="M7" t="inlineStr">
        <is>
          <t>Suporte a .env no mcp-redmine (config.py, testes, docs) + commit</t>
        </is>
      </c>
      <c r="N7" t="inlineStr">
        <is>
          <t>Precos oficiais Claude Opus 5 (platform.claude.com/pricing): entrada $5/1M, saida $25/1M, leitura de cache $0,50/1M, escrita de cache 1h $10/1M. Sessao via assinatura Claude Desktop — custo equivalente de API, nao cobrado.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zoomScale="160" zoomScaleNormal="160" workbookViewId="0">
      <selection activeCell="B1" sqref="B1"/>
    </sheetView>
  </sheetViews>
  <sheetFormatPr baseColWidth="8" defaultRowHeight="15"/>
  <cols>
    <col width="24.7109375" customWidth="1" min="1" max="1"/>
    <col width="18.140625" customWidth="1" min="2" max="2"/>
  </cols>
  <sheetData>
    <row r="1">
      <c r="A1" s="3" t="inlineStr">
        <is>
          <t>Paridade USD/BRL</t>
        </is>
      </c>
      <c r="B1" s="4">
        <f t="array" ref="B1">_xlfn.LET(_xlpm.x,_xlfn.STOCKHISTORY("USD/BRL",TODAY()-10,TODAY(),0,0,1),INDEX(_xlpm.x,ROWS(_xlpm.x)))</f>
        <v/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2026-08-08T21:42:14Z</dcterms:created>
  <dcterms:modified xmlns:dcterms="http://purl.org/dc/terms/" xmlns:xsi="http://www.w3.org/2001/XMLSchema-instance" xsi:type="dcterms:W3CDTF">2026-08-10T00:28:40Z</dcterms:modified>
  <cp:lastModifiedBy>André Simões</cp:lastModifiedBy>
</cp:coreProperties>
</file>